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C6EAF72C-3F73-4B96-BD4F-F26C0E9A368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3" i="1"/>
  <c r="L4" i="1"/>
  <c r="L5" i="1"/>
  <c r="L6" i="1"/>
  <c r="L7" i="1"/>
  <c r="L8" i="1"/>
  <c r="L9" i="1"/>
  <c r="L10" i="1"/>
  <c r="L11" i="1"/>
  <c r="L12" i="1"/>
  <c r="K4" i="1"/>
  <c r="M4" i="1" s="1"/>
  <c r="K5" i="1"/>
  <c r="M5" i="1" s="1"/>
  <c r="K6" i="1"/>
  <c r="M6" i="1" s="1"/>
  <c r="K7" i="1"/>
  <c r="M7" i="1" s="1"/>
  <c r="K8" i="1"/>
  <c r="M8" i="1" s="1"/>
  <c r="K9" i="1"/>
  <c r="M9" i="1" s="1"/>
  <c r="K10" i="1"/>
  <c r="M10" i="1" s="1"/>
  <c r="K11" i="1"/>
  <c r="M11" i="1" s="1"/>
  <c r="K12" i="1"/>
  <c r="M12" i="1" s="1"/>
  <c r="J4" i="1"/>
  <c r="J5" i="1"/>
  <c r="J6" i="1"/>
  <c r="J7" i="1"/>
  <c r="J8" i="1"/>
  <c r="J9" i="1"/>
  <c r="J10" i="1"/>
  <c r="J11" i="1"/>
  <c r="J12" i="1"/>
  <c r="L3" i="1"/>
  <c r="K3" i="1"/>
  <c r="J3" i="1"/>
  <c r="M3" i="1" l="1"/>
</calcChain>
</file>

<file path=xl/sharedStrings.xml><?xml version="1.0" encoding="utf-8"?>
<sst xmlns="http://schemas.openxmlformats.org/spreadsheetml/2006/main" count="31" uniqueCount="19">
  <si>
    <t xml:space="preserve">DATA </t>
  </si>
  <si>
    <t xml:space="preserve">MAQUINA </t>
  </si>
  <si>
    <t>TEMPO TOTAL DE TURNO</t>
  </si>
  <si>
    <t>PARADA PLANEJADA</t>
  </si>
  <si>
    <t>PARADA NÃO PLANEJADA</t>
  </si>
  <si>
    <t>PRODUÇÃO REAL</t>
  </si>
  <si>
    <t>CAPACIDADE NOMINAL</t>
  </si>
  <si>
    <t xml:space="preserve">ITENS BONS </t>
  </si>
  <si>
    <t>ITENS DEFEITUOSOS</t>
  </si>
  <si>
    <t>TEMPO TRABALHADO</t>
  </si>
  <si>
    <t>PERFORMANCE DE PRODUÇÃO</t>
  </si>
  <si>
    <t>QUALIDADE DA PRODUÇÃO</t>
  </si>
  <si>
    <t>OEE</t>
  </si>
  <si>
    <t>INVASADORA 01</t>
  </si>
  <si>
    <t>480 MIN / 8 HORAS</t>
  </si>
  <si>
    <t>CAFÉ/ALMOÇO/CAFE</t>
  </si>
  <si>
    <t>FALTA DE MATERIAL</t>
  </si>
  <si>
    <t>UNIDADES</t>
  </si>
  <si>
    <t>UNIDADES MINUTO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</si>
</sst>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NumberFormat="1" applyAlignment="1">
      <alignment horizontal="right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Diária da Eficiência (OEE %)</a:t>
            </a:r>
          </a:p>
        </c:rich>
      </c:tx>
      <c:layout>
        <c:manualLayout>
          <c:xMode val="edge"/>
          <c:yMode val="edge"/>
          <c:x val="0.21087489063867018"/>
          <c:y val="4.5138888888888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numRef>
              <c:f>Planilha1!$A$3:$A$12</c:f>
              <c:numCache>
                <c:formatCode>m/d/yyyy</c:formatCode>
                <c:ptCount val="10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45999</c:v>
                </c:pt>
                <c:pt idx="6">
                  <c:v>46000</c:v>
                </c:pt>
                <c:pt idx="7">
                  <c:v>46001</c:v>
                </c:pt>
                <c:pt idx="8">
                  <c:v>46002</c:v>
                </c:pt>
                <c:pt idx="9">
                  <c:v>46004</c:v>
                </c:pt>
              </c:numCache>
            </c:numRef>
          </c:cat>
          <c:val>
            <c:numRef>
              <c:f>Planilha1!$M$3:$M$12</c:f>
              <c:numCache>
                <c:formatCode>0.00%</c:formatCode>
                <c:ptCount val="10"/>
                <c:pt idx="0">
                  <c:v>0.99164598842018203</c:v>
                </c:pt>
                <c:pt idx="1">
                  <c:v>0.95053763440860206</c:v>
                </c:pt>
                <c:pt idx="2">
                  <c:v>0.93002481389578162</c:v>
                </c:pt>
                <c:pt idx="3">
                  <c:v>0.99168734491315147</c:v>
                </c:pt>
                <c:pt idx="4">
                  <c:v>0.98722084367245666</c:v>
                </c:pt>
                <c:pt idx="5">
                  <c:v>0.9511166253101736</c:v>
                </c:pt>
                <c:pt idx="6">
                  <c:v>0.97820512820512817</c:v>
                </c:pt>
                <c:pt idx="7">
                  <c:v>0.99201819685690662</c:v>
                </c:pt>
                <c:pt idx="8">
                  <c:v>0.99214226633581482</c:v>
                </c:pt>
                <c:pt idx="9">
                  <c:v>0.98440860215053771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5D-4C65-8345-6462C2854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0324743"/>
        <c:axId val="1270326791"/>
      </c:lineChart>
      <c:dateAx>
        <c:axId val="127032474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326791"/>
        <c:crosses val="autoZero"/>
        <c:auto val="1"/>
        <c:lblOffset val="100"/>
        <c:baseTimeUnit val="days"/>
      </c:dateAx>
      <c:valAx>
        <c:axId val="1270326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324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638175</xdr:colOff>
      <xdr:row>13</xdr:row>
      <xdr:rowOff>0</xdr:rowOff>
    </xdr:from>
    <xdr:to>
      <xdr:col>8</xdr:col>
      <xdr:colOff>438150</xdr:colOff>
      <xdr:row>27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CC2C272-4E72-861A-A3B2-99AF853054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D22" sqref="D22"/>
    </sheetView>
  </sheetViews>
  <sheetFormatPr defaultRowHeight="15"/>
  <cols>
    <col min="1" max="1" width="10.85546875" bestFit="1" customWidth="1"/>
    <col min="2" max="2" width="15" bestFit="1" customWidth="1"/>
    <col min="3" max="3" width="22.28515625" bestFit="1" customWidth="1"/>
    <col min="4" max="4" width="19.140625" bestFit="1" customWidth="1"/>
    <col min="5" max="5" width="22.42578125" bestFit="1" customWidth="1"/>
    <col min="6" max="6" width="16" bestFit="1" customWidth="1"/>
    <col min="7" max="7" width="21.28515625" bestFit="1" customWidth="1"/>
    <col min="8" max="8" width="11.85546875" bestFit="1" customWidth="1"/>
    <col min="9" max="9" width="18.7109375" bestFit="1" customWidth="1"/>
    <col min="10" max="10" width="15.140625" customWidth="1"/>
    <col min="11" max="11" width="15.28515625" customWidth="1"/>
    <col min="12" max="12" width="18.42578125" customWidth="1"/>
  </cols>
  <sheetData>
    <row r="1" spans="1:13" s="1" customFormat="1" ht="29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6" t="s">
        <v>10</v>
      </c>
      <c r="L1" s="6" t="s">
        <v>11</v>
      </c>
      <c r="M1" s="1" t="s">
        <v>12</v>
      </c>
    </row>
    <row r="2" spans="1:13" s="1" customFormat="1"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17</v>
      </c>
      <c r="I2" s="1" t="s">
        <v>17</v>
      </c>
    </row>
    <row r="3" spans="1:13" s="1" customFormat="1">
      <c r="A3" s="3">
        <v>45992</v>
      </c>
      <c r="B3" s="1" t="s">
        <v>13</v>
      </c>
      <c r="C3" s="5">
        <v>480</v>
      </c>
      <c r="D3" s="5">
        <v>90</v>
      </c>
      <c r="E3" s="5">
        <v>1</v>
      </c>
      <c r="F3" s="5">
        <v>24000</v>
      </c>
      <c r="G3" s="5">
        <v>62</v>
      </c>
      <c r="H3" s="5">
        <f>F3-I3</f>
        <v>23978</v>
      </c>
      <c r="I3" s="5">
        <v>22</v>
      </c>
      <c r="J3" s="4">
        <f>(C3-D3-E3)/(C3-D3)</f>
        <v>0.99743589743589745</v>
      </c>
      <c r="K3" s="4">
        <f>F3/((C3-D3-E3)*G3)</f>
        <v>0.99510738867236093</v>
      </c>
      <c r="L3" s="4">
        <f>H3/F3</f>
        <v>0.99908333333333332</v>
      </c>
      <c r="M3" s="4">
        <f>J3*K3*L3</f>
        <v>0.99164598842018203</v>
      </c>
    </row>
    <row r="4" spans="1:13">
      <c r="A4" s="2">
        <v>45993</v>
      </c>
      <c r="B4" s="1" t="s">
        <v>13</v>
      </c>
      <c r="C4">
        <v>480</v>
      </c>
      <c r="D4">
        <v>90</v>
      </c>
      <c r="E4">
        <v>12</v>
      </c>
      <c r="F4" s="5">
        <v>23000</v>
      </c>
      <c r="G4" s="5">
        <v>62</v>
      </c>
      <c r="H4" s="5">
        <f t="shared" ref="H4:H12" si="0">F4-I4</f>
        <v>22984</v>
      </c>
      <c r="I4" s="5">
        <v>16</v>
      </c>
      <c r="J4" s="4">
        <f t="shared" ref="J4:J12" si="1">(C4-D4-E4)/(C4-D4)</f>
        <v>0.96923076923076923</v>
      </c>
      <c r="K4" s="4">
        <f t="shared" ref="K4:K12" si="2">F4/((C4-D4-E4)*G4)</f>
        <v>0.98139614268646524</v>
      </c>
      <c r="L4" s="4">
        <f t="shared" ref="L4:L12" si="3">H4/F4</f>
        <v>0.9993043478260869</v>
      </c>
      <c r="M4" s="4">
        <f t="shared" ref="M4:M12" si="4">J4*K4*L4</f>
        <v>0.95053763440860206</v>
      </c>
    </row>
    <row r="5" spans="1:13">
      <c r="A5" s="2">
        <v>45994</v>
      </c>
      <c r="B5" s="1" t="s">
        <v>13</v>
      </c>
      <c r="C5">
        <v>480</v>
      </c>
      <c r="D5">
        <v>90</v>
      </c>
      <c r="E5">
        <v>22</v>
      </c>
      <c r="F5" s="5">
        <v>22500</v>
      </c>
      <c r="G5" s="5">
        <v>62</v>
      </c>
      <c r="H5" s="5">
        <f t="shared" si="0"/>
        <v>22488</v>
      </c>
      <c r="I5" s="5">
        <v>12</v>
      </c>
      <c r="J5" s="4">
        <f t="shared" si="1"/>
        <v>0.94358974358974357</v>
      </c>
      <c r="K5" s="4">
        <f t="shared" si="2"/>
        <v>0.98615007012622724</v>
      </c>
      <c r="L5" s="4">
        <f t="shared" si="3"/>
        <v>0.99946666666666661</v>
      </c>
      <c r="M5" s="4">
        <f t="shared" si="4"/>
        <v>0.93002481389578162</v>
      </c>
    </row>
    <row r="6" spans="1:13">
      <c r="A6" s="2">
        <v>45995</v>
      </c>
      <c r="B6" s="1" t="s">
        <v>13</v>
      </c>
      <c r="C6">
        <v>480</v>
      </c>
      <c r="D6">
        <v>90</v>
      </c>
      <c r="E6">
        <v>0</v>
      </c>
      <c r="F6" s="5">
        <v>24000</v>
      </c>
      <c r="G6" s="5">
        <v>62</v>
      </c>
      <c r="H6" s="5">
        <f t="shared" si="0"/>
        <v>23979</v>
      </c>
      <c r="I6" s="5">
        <v>21</v>
      </c>
      <c r="J6" s="4">
        <f t="shared" si="1"/>
        <v>1</v>
      </c>
      <c r="K6" s="4">
        <f t="shared" si="2"/>
        <v>0.99255583126550873</v>
      </c>
      <c r="L6" s="4">
        <f t="shared" si="3"/>
        <v>0.99912500000000004</v>
      </c>
      <c r="M6" s="4">
        <f t="shared" si="4"/>
        <v>0.99168734491315147</v>
      </c>
    </row>
    <row r="7" spans="1:13">
      <c r="A7" s="2">
        <v>45996</v>
      </c>
      <c r="B7" s="1" t="s">
        <v>13</v>
      </c>
      <c r="C7">
        <v>480</v>
      </c>
      <c r="D7">
        <v>90</v>
      </c>
      <c r="E7">
        <v>4</v>
      </c>
      <c r="F7" s="5">
        <v>23890</v>
      </c>
      <c r="G7" s="5">
        <v>62</v>
      </c>
      <c r="H7" s="5">
        <f t="shared" si="0"/>
        <v>23871</v>
      </c>
      <c r="I7" s="5">
        <v>19</v>
      </c>
      <c r="J7" s="4">
        <f t="shared" si="1"/>
        <v>0.98974358974358978</v>
      </c>
      <c r="K7" s="4">
        <f t="shared" si="2"/>
        <v>0.99824502757813804</v>
      </c>
      <c r="L7" s="4">
        <f t="shared" si="3"/>
        <v>0.9992046881540394</v>
      </c>
      <c r="M7" s="4">
        <f t="shared" si="4"/>
        <v>0.98722084367245666</v>
      </c>
    </row>
    <row r="8" spans="1:13">
      <c r="A8" s="2">
        <v>45999</v>
      </c>
      <c r="B8" s="1" t="s">
        <v>13</v>
      </c>
      <c r="C8">
        <v>480</v>
      </c>
      <c r="D8">
        <v>90</v>
      </c>
      <c r="E8">
        <v>11</v>
      </c>
      <c r="F8" s="5">
        <v>23000</v>
      </c>
      <c r="G8" s="5">
        <v>62</v>
      </c>
      <c r="H8" s="5">
        <f t="shared" si="0"/>
        <v>22998</v>
      </c>
      <c r="I8" s="5">
        <v>2</v>
      </c>
      <c r="J8" s="4">
        <f t="shared" si="1"/>
        <v>0.97179487179487178</v>
      </c>
      <c r="K8" s="4">
        <f t="shared" si="2"/>
        <v>0.97880670695378325</v>
      </c>
      <c r="L8" s="4">
        <f t="shared" si="3"/>
        <v>0.99991304347826082</v>
      </c>
      <c r="M8" s="4">
        <f t="shared" si="4"/>
        <v>0.9511166253101736</v>
      </c>
    </row>
    <row r="9" spans="1:13">
      <c r="A9" s="2">
        <v>46000</v>
      </c>
      <c r="B9" s="1" t="s">
        <v>13</v>
      </c>
      <c r="C9">
        <v>480</v>
      </c>
      <c r="D9">
        <v>90</v>
      </c>
      <c r="E9">
        <v>7</v>
      </c>
      <c r="F9" s="5">
        <v>23670</v>
      </c>
      <c r="G9" s="5">
        <v>62</v>
      </c>
      <c r="H9" s="5">
        <f t="shared" si="0"/>
        <v>23653</v>
      </c>
      <c r="I9" s="5">
        <v>17</v>
      </c>
      <c r="J9" s="4">
        <f t="shared" si="1"/>
        <v>0.982051282051282</v>
      </c>
      <c r="K9" s="4">
        <f t="shared" si="2"/>
        <v>0.99679946096184624</v>
      </c>
      <c r="L9" s="4">
        <f t="shared" si="3"/>
        <v>0.99928179129700045</v>
      </c>
      <c r="M9" s="4">
        <f t="shared" si="4"/>
        <v>0.97820512820512817</v>
      </c>
    </row>
    <row r="10" spans="1:13">
      <c r="A10" s="2">
        <v>46001</v>
      </c>
      <c r="B10" s="1" t="s">
        <v>13</v>
      </c>
      <c r="C10">
        <v>480</v>
      </c>
      <c r="D10">
        <v>90</v>
      </c>
      <c r="E10">
        <v>0</v>
      </c>
      <c r="F10" s="5">
        <v>24000</v>
      </c>
      <c r="G10" s="5">
        <v>62</v>
      </c>
      <c r="H10" s="5">
        <f t="shared" si="0"/>
        <v>23987</v>
      </c>
      <c r="I10" s="5">
        <v>13</v>
      </c>
      <c r="J10" s="4">
        <f t="shared" si="1"/>
        <v>1</v>
      </c>
      <c r="K10" s="4">
        <f t="shared" si="2"/>
        <v>0.99255583126550873</v>
      </c>
      <c r="L10" s="4">
        <f t="shared" si="3"/>
        <v>0.99945833333333334</v>
      </c>
      <c r="M10" s="4">
        <f t="shared" si="4"/>
        <v>0.99201819685690662</v>
      </c>
    </row>
    <row r="11" spans="1:13">
      <c r="A11" s="2">
        <v>46002</v>
      </c>
      <c r="B11" s="1" t="s">
        <v>13</v>
      </c>
      <c r="C11">
        <v>480</v>
      </c>
      <c r="D11">
        <v>90</v>
      </c>
      <c r="E11">
        <v>0</v>
      </c>
      <c r="F11" s="5">
        <v>24000</v>
      </c>
      <c r="G11" s="5">
        <v>62</v>
      </c>
      <c r="H11" s="5">
        <f t="shared" si="0"/>
        <v>23990</v>
      </c>
      <c r="I11" s="5">
        <v>10</v>
      </c>
      <c r="J11" s="4">
        <f t="shared" si="1"/>
        <v>1</v>
      </c>
      <c r="K11" s="4">
        <f t="shared" si="2"/>
        <v>0.99255583126550873</v>
      </c>
      <c r="L11" s="4">
        <f t="shared" si="3"/>
        <v>0.99958333333333338</v>
      </c>
      <c r="M11" s="4">
        <f t="shared" si="4"/>
        <v>0.99214226633581482</v>
      </c>
    </row>
    <row r="12" spans="1:13">
      <c r="A12" s="2">
        <v>46004</v>
      </c>
      <c r="B12" s="1" t="s">
        <v>13</v>
      </c>
      <c r="C12">
        <v>480</v>
      </c>
      <c r="D12">
        <v>90</v>
      </c>
      <c r="E12">
        <v>5</v>
      </c>
      <c r="F12" s="5">
        <v>23810</v>
      </c>
      <c r="G12" s="5">
        <v>62</v>
      </c>
      <c r="H12" s="5">
        <f t="shared" si="0"/>
        <v>23803</v>
      </c>
      <c r="I12" s="5">
        <v>7</v>
      </c>
      <c r="J12" s="4">
        <f t="shared" si="1"/>
        <v>0.98717948717948723</v>
      </c>
      <c r="K12" s="4">
        <f t="shared" si="2"/>
        <v>0.99748638458315875</v>
      </c>
      <c r="L12" s="4">
        <f t="shared" si="3"/>
        <v>0.99970600587988245</v>
      </c>
      <c r="M12" s="4">
        <f t="shared" si="4"/>
        <v>0.98440860215053771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2025-12-18T17:58:49Z</dcterms:created>
  <dcterms:modified xsi:type="dcterms:W3CDTF">2025-12-18T19:54:12Z</dcterms:modified>
  <cp:category/>
  <cp:contentStatus/>
</cp:coreProperties>
</file>